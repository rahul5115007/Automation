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2260" windowHeight="12648" activeTab="8"/>
  </bookViews>
  <sheets>
    <sheet name="CompanyList" sheetId="1" r:id="rId1"/>
    <sheet name="VenueList" sheetId="2" r:id="rId2"/>
    <sheet name="Deptlist" sheetId="3" r:id="rId3"/>
    <sheet name="ProductGroup" sheetId="6" r:id="rId4"/>
    <sheet name="ProductList" sheetId="4" r:id="rId5"/>
    <sheet name="userLoginDetails" sheetId="5" r:id="rId6"/>
    <sheet name="PLUList" sheetId="7" r:id="rId7"/>
    <sheet name="wallRackDetails" sheetId="8" r:id="rId8"/>
    <sheet name="BottleChange" sheetId="9" r:id="rId9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/>
  <c r="R2"/>
  <c r="S3"/>
  <c r="R3"/>
  <c r="S4"/>
  <c r="R4"/>
  <c r="S5"/>
  <c r="R5"/>
  <c r="S6"/>
  <c r="R6"/>
</calcChain>
</file>

<file path=xl/sharedStrings.xml><?xml version="1.0" encoding="utf-8"?>
<sst xmlns="http://schemas.openxmlformats.org/spreadsheetml/2006/main" count="700" uniqueCount="218">
  <si>
    <t>Company Name</t>
  </si>
  <si>
    <t>CountryCode</t>
  </si>
  <si>
    <t>Address</t>
  </si>
  <si>
    <t>ContactPerson</t>
  </si>
  <si>
    <t>PrimaryContactNumber</t>
  </si>
  <si>
    <t>TimeZoneUTC</t>
  </si>
  <si>
    <t>Email</t>
  </si>
  <si>
    <t>AllowDaylightSaving</t>
  </si>
  <si>
    <t>DaylightSavingON</t>
  </si>
  <si>
    <t>AllowPasswordExpiry</t>
  </si>
  <si>
    <t>AccessPourFeatures</t>
  </si>
  <si>
    <t>AccessFlowFeatures</t>
  </si>
  <si>
    <t>Company-1</t>
  </si>
  <si>
    <t>india</t>
  </si>
  <si>
    <t>708, 8th Floor, Westend Mall, Janakpuri, New Delhi - 110058 (India).</t>
  </si>
  <si>
    <t>Shivam aggarwal</t>
  </si>
  <si>
    <t>UTC+05:30</t>
  </si>
  <si>
    <t>shivam@yuktisolutions.com</t>
  </si>
  <si>
    <t>Company-2</t>
  </si>
  <si>
    <t>china</t>
  </si>
  <si>
    <t>Compnay Name</t>
  </si>
  <si>
    <t>Venue Name</t>
  </si>
  <si>
    <t>Short Name</t>
  </si>
  <si>
    <t>Venue Group</t>
  </si>
  <si>
    <t>Address 1</t>
  </si>
  <si>
    <t>Address 2</t>
  </si>
  <si>
    <t>Address 3</t>
  </si>
  <si>
    <t>City</t>
  </si>
  <si>
    <t>Country</t>
  </si>
  <si>
    <t>Zip/Postal Code</t>
  </si>
  <si>
    <t>Contact Personv</t>
  </si>
  <si>
    <t>Contact Number</t>
  </si>
  <si>
    <t>Mobile Number</t>
  </si>
  <si>
    <t>Email ID</t>
  </si>
  <si>
    <t>Color</t>
  </si>
  <si>
    <t>Spirits</t>
  </si>
  <si>
    <t>Beer</t>
  </si>
  <si>
    <t>Venue ProductGroup type</t>
  </si>
  <si>
    <t>Venue Product list Type</t>
  </si>
  <si>
    <t>Venue-1</t>
  </si>
  <si>
    <t>C1 V1</t>
  </si>
  <si>
    <t>C1</t>
  </si>
  <si>
    <t>708</t>
  </si>
  <si>
    <t>Janakpuri west</t>
  </si>
  <si>
    <t>Near janakpuri west metro</t>
  </si>
  <si>
    <t>Delhi</t>
  </si>
  <si>
    <t>India</t>
  </si>
  <si>
    <t>121001</t>
  </si>
  <si>
    <t>Shivam Aggarwal</t>
  </si>
  <si>
    <t>9876543210</t>
  </si>
  <si>
    <t>Shivam@yuktisolutions.com</t>
  </si>
  <si>
    <t>#ff0000</t>
  </si>
  <si>
    <t>Venue-2</t>
  </si>
  <si>
    <t>C1 V2</t>
  </si>
  <si>
    <t>709</t>
  </si>
  <si>
    <t>121002</t>
  </si>
  <si>
    <t>#FFFF00</t>
  </si>
  <si>
    <t>Venue-3</t>
  </si>
  <si>
    <t>C2 V3</t>
  </si>
  <si>
    <t>C2</t>
  </si>
  <si>
    <t>710</t>
  </si>
  <si>
    <t>121003</t>
  </si>
  <si>
    <t>#088F8F</t>
  </si>
  <si>
    <t>Venue-4</t>
  </si>
  <si>
    <t>C2 V4</t>
  </si>
  <si>
    <t>711</t>
  </si>
  <si>
    <t>121004</t>
  </si>
  <si>
    <t>#454B1B</t>
  </si>
  <si>
    <t>Venue-5</t>
  </si>
  <si>
    <t>C2 V5</t>
  </si>
  <si>
    <t>712</t>
  </si>
  <si>
    <t>121005</t>
  </si>
  <si>
    <t>#00FFFF</t>
  </si>
  <si>
    <t>Department Name</t>
  </si>
  <si>
    <t>Colour</t>
  </si>
  <si>
    <t>OffLineTimeFrom</t>
  </si>
  <si>
    <t>OffLineTimeTo</t>
  </si>
  <si>
    <t>MaxPourCount</t>
  </si>
  <si>
    <t>DEPT-1</t>
  </si>
  <si>
    <t>#880015</t>
  </si>
  <si>
    <t>15</t>
  </si>
  <si>
    <t>20</t>
  </si>
  <si>
    <t>10</t>
  </si>
  <si>
    <t>DEPT-2</t>
  </si>
  <si>
    <t>ProductGroup</t>
  </si>
  <si>
    <t>Product Type</t>
  </si>
  <si>
    <t>P1</t>
  </si>
  <si>
    <t>Spirit</t>
  </si>
  <si>
    <t>P2</t>
  </si>
  <si>
    <t>P3</t>
  </si>
  <si>
    <t>P4</t>
  </si>
  <si>
    <t>P5</t>
  </si>
  <si>
    <t>P6</t>
  </si>
  <si>
    <t>P7</t>
  </si>
  <si>
    <t>Bulk</t>
  </si>
  <si>
    <t>P8</t>
  </si>
  <si>
    <t>P9</t>
  </si>
  <si>
    <t>P10</t>
  </si>
  <si>
    <t>Product list</t>
  </si>
  <si>
    <t>Viscosity</t>
  </si>
  <si>
    <t>bottleSize</t>
  </si>
  <si>
    <t>ReorderLevel</t>
  </si>
  <si>
    <t>MaximumStock</t>
  </si>
  <si>
    <t>PurchaseCost</t>
  </si>
  <si>
    <t>Product-1</t>
  </si>
  <si>
    <t>1</t>
  </si>
  <si>
    <t>700</t>
  </si>
  <si>
    <t>100</t>
  </si>
  <si>
    <t>1000</t>
  </si>
  <si>
    <t>Bottle Pouring</t>
  </si>
  <si>
    <t>Product-2</t>
  </si>
  <si>
    <t>Product-3</t>
  </si>
  <si>
    <t>Product-4</t>
  </si>
  <si>
    <t>Product-5</t>
  </si>
  <si>
    <t>Product-6</t>
  </si>
  <si>
    <t>Product-7</t>
  </si>
  <si>
    <t>Tap Pouring</t>
  </si>
  <si>
    <t>Product-8</t>
  </si>
  <si>
    <t>Product-9</t>
  </si>
  <si>
    <t>Product-10</t>
  </si>
  <si>
    <t>Product-11</t>
  </si>
  <si>
    <t>Product-12</t>
  </si>
  <si>
    <t>Product-13</t>
  </si>
  <si>
    <t>Bulk Product</t>
  </si>
  <si>
    <t>Product-14</t>
  </si>
  <si>
    <t>Product-15</t>
  </si>
  <si>
    <t>Product-16</t>
  </si>
  <si>
    <t>Product-17</t>
  </si>
  <si>
    <t>Product-18</t>
  </si>
  <si>
    <t>Product-19</t>
  </si>
  <si>
    <t>Product-20</t>
  </si>
  <si>
    <t>UserNmae</t>
  </si>
  <si>
    <t>Password</t>
  </si>
  <si>
    <t>Yspl2009@</t>
  </si>
  <si>
    <t>Product group</t>
  </si>
  <si>
    <t>PLU Venue</t>
  </si>
  <si>
    <t>PLU No.</t>
  </si>
  <si>
    <t>Product Name</t>
  </si>
  <si>
    <t>Size</t>
  </si>
  <si>
    <t>External PLU</t>
  </si>
  <si>
    <t>Amount for POS</t>
  </si>
  <si>
    <t>Price 1</t>
  </si>
  <si>
    <t>CategoryList</t>
  </si>
  <si>
    <t>Tap Pouring  : "flow"</t>
  </si>
  <si>
    <t>2</t>
  </si>
  <si>
    <t>Bottle Pouring: "pour"</t>
  </si>
  <si>
    <t>3</t>
  </si>
  <si>
    <t>30</t>
  </si>
  <si>
    <t>POS Product: "pos"</t>
  </si>
  <si>
    <t>4</t>
  </si>
  <si>
    <t>40</t>
  </si>
  <si>
    <t>Bulk Product: "bulk"</t>
  </si>
  <si>
    <t xml:space="preserve"> </t>
  </si>
  <si>
    <t>5</t>
  </si>
  <si>
    <t>50</t>
  </si>
  <si>
    <t>6</t>
  </si>
  <si>
    <t>60</t>
  </si>
  <si>
    <t>7</t>
  </si>
  <si>
    <t>70</t>
  </si>
  <si>
    <t>8</t>
  </si>
  <si>
    <t>80</t>
  </si>
  <si>
    <t>9</t>
  </si>
  <si>
    <t>90</t>
  </si>
  <si>
    <t>11</t>
  </si>
  <si>
    <t>110</t>
  </si>
  <si>
    <t>12</t>
  </si>
  <si>
    <t>13</t>
  </si>
  <si>
    <t>14</t>
  </si>
  <si>
    <t>16</t>
  </si>
  <si>
    <t>17</t>
  </si>
  <si>
    <t>18</t>
  </si>
  <si>
    <t>19</t>
  </si>
  <si>
    <t>21</t>
  </si>
  <si>
    <t>22</t>
  </si>
  <si>
    <t>23</t>
  </si>
  <si>
    <t>POS Product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</si>
  <si>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</si>
  <si>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</si>
  <si>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</si>
  <si>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</si>
  <si>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</si>
  <si>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</si>
  <si>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</si>
  <si>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</si>
  <si>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</si>
  <si>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</si>
  <si>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</si>
  <si>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</si>
  <si>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</si>
  <si>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</si>
  <si>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</si>
  <si>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</si>
  <si>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</si>
  <si>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</si>
  <si>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</si>
  <si>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</si>
  <si>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</si>
  <si>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</si>
  <si>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CloudName</t>
  </si>
  <si>
    <t>VenueName</t>
  </si>
  <si>
    <t>wallracknumber</t>
  </si>
  <si>
    <t>NoUnits</t>
  </si>
  <si>
    <t>ProductName</t>
  </si>
  <si>
    <t>ProductSize</t>
  </si>
  <si>
    <t>ProductDept</t>
  </si>
  <si>
    <t>FCNumber</t>
  </si>
  <si>
    <t>BOMBAY GIN</t>
  </si>
  <si>
    <t>FC Number</t>
  </si>
  <si>
    <t>BottleChangeStatus</t>
  </si>
  <si>
    <t>DateTime</t>
  </si>
  <si>
    <t>Wallrack no</t>
  </si>
  <si>
    <t>rahul</t>
  </si>
  <si>
    <t>Access Point Ltd</t>
  </si>
  <si>
    <t>Access Point</t>
  </si>
  <si>
    <t xml:space="preserve">Demo </t>
  </si>
  <si>
    <t>"2025-09-19T05:56:37.795Z"</t>
  </si>
  <si>
    <t>"2025-09-19T05:56:38.795Z"</t>
  </si>
  <si>
    <t>"2025-09-19T05:56:39.795Z"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</si>
</sst>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Helvetica"/>
      <charset val="1"/>
    </font>
    <font>
      <b/>
      <sz val="11"/>
      <color rgb="FF272727"/>
      <name val="Helvetica"/>
      <charset val="1"/>
    </font>
    <font>
      <sz val="12"/>
      <color rgb="FF3F3844"/>
      <name val="Proxima-Soft"/>
      <charset val="1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quotePrefix="1"/>
    <xf numFmtId="0" fontId="3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am@yuktisolutions.com" TargetMode="External"/><Relationship Id="rId1" Type="http://schemas.openxmlformats.org/officeDocument/2006/relationships/hyperlink" Target="mailto:shivam@yuktisolution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m@yuktisolutions.com" TargetMode="External"/><Relationship Id="rId2" Type="http://schemas.openxmlformats.org/officeDocument/2006/relationships/hyperlink" Target="mailto:Shivam@yuktisolutions.com" TargetMode="External"/><Relationship Id="rId1" Type="http://schemas.openxmlformats.org/officeDocument/2006/relationships/hyperlink" Target="mailto:Shivam@yuktisolutions.com" TargetMode="External"/><Relationship Id="rId5" Type="http://schemas.openxmlformats.org/officeDocument/2006/relationships/hyperlink" Target="mailto:Shivam@yuktisolutions.com" TargetMode="External"/><Relationship Id="rId4" Type="http://schemas.openxmlformats.org/officeDocument/2006/relationships/hyperlink" Target="mailto:Shivam@yukti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"/>
    </sheetView>
  </sheetViews>
  <sheetFormatPr defaultColWidth="9.109375" defaultRowHeight="14.4"/>
  <cols>
    <col min="1" max="1" width="15" style="3" bestFit="1" customWidth="1"/>
    <col min="2" max="2" width="12.44140625" style="3" bestFit="1" customWidth="1"/>
    <col min="3" max="3" width="36.5546875" style="3" bestFit="1" customWidth="1"/>
    <col min="4" max="4" width="15.5546875" style="3" bestFit="1" customWidth="1"/>
    <col min="5" max="5" width="22" style="3" bestFit="1" customWidth="1"/>
    <col min="6" max="6" width="13.33203125" style="3" bestFit="1" customWidth="1"/>
    <col min="7" max="7" width="25.44140625" style="3" bestFit="1" customWidth="1"/>
    <col min="8" max="8" width="19.109375" style="3" bestFit="1" customWidth="1"/>
    <col min="9" max="9" width="16.88671875" style="3" bestFit="1" customWidth="1"/>
    <col min="10" max="10" width="20" style="3" bestFit="1" customWidth="1"/>
    <col min="11" max="12" width="18.6640625" style="3" bestFit="1" customWidth="1"/>
    <col min="13" max="16384" width="9.109375" style="3"/>
  </cols>
  <sheetData>
    <row r="1" spans="1:12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customFormat="1">
      <c r="A2" t="s">
        <v>12</v>
      </c>
      <c r="B2" t="s">
        <v>13</v>
      </c>
      <c r="C2" t="s">
        <v>14</v>
      </c>
      <c r="D2" t="s">
        <v>15</v>
      </c>
      <c r="E2">
        <v>9997410462</v>
      </c>
      <c r="F2" t="s">
        <v>16</v>
      </c>
      <c r="G2" t="s">
        <v>17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 spans="1:12" customFormat="1">
      <c r="A3" t="s">
        <v>18</v>
      </c>
      <c r="B3" t="s">
        <v>19</v>
      </c>
      <c r="C3" t="s">
        <v>14</v>
      </c>
      <c r="D3" t="s">
        <v>15</v>
      </c>
      <c r="E3">
        <v>9997410463</v>
      </c>
      <c r="F3" t="s">
        <v>16</v>
      </c>
      <c r="G3" t="s">
        <v>17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 spans="1:12">
      <c r="L4"/>
    </row>
  </sheetData>
  <hyperlinks>
    <hyperlink ref="G2" r:id="rId1"/>
    <hyperlink ref="G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>
      <selection activeCell="R7" sqref="R7"/>
    </sheetView>
  </sheetViews>
  <sheetFormatPr defaultRowHeight="14.4"/>
  <cols>
    <col min="1" max="1" width="14.6640625" bestFit="1" customWidth="1"/>
    <col min="2" max="2" width="12.44140625" bestFit="1" customWidth="1"/>
    <col min="3" max="3" width="12.88671875" bestFit="1" customWidth="1"/>
    <col min="4" max="4" width="14.109375" bestFit="1" customWidth="1"/>
    <col min="5" max="5" width="10.6640625" bestFit="1" customWidth="1"/>
    <col min="6" max="6" width="13.88671875" bestFit="1" customWidth="1"/>
    <col min="7" max="7" width="24.33203125" bestFit="1" customWidth="1"/>
    <col min="10" max="10" width="17" bestFit="1" customWidth="1"/>
    <col min="11" max="11" width="17.33203125" bestFit="1" customWidth="1"/>
    <col min="12" max="12" width="17.5546875" bestFit="1" customWidth="1"/>
    <col min="13" max="13" width="16.88671875" bestFit="1" customWidth="1"/>
    <col min="14" max="14" width="25.5546875" bestFit="1" customWidth="1"/>
    <col min="15" max="15" width="10.6640625" bestFit="1" customWidth="1"/>
    <col min="18" max="18" width="24.109375" bestFit="1" customWidth="1"/>
    <col min="19" max="19" width="22" bestFit="1" customWidth="1"/>
  </cols>
  <sheetData>
    <row r="1" spans="1:19">
      <c r="A1" s="1" t="s">
        <v>20</v>
      </c>
      <c r="B1" s="1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7" t="s">
        <v>34</v>
      </c>
      <c r="P1" s="6" t="s">
        <v>35</v>
      </c>
      <c r="Q1" s="6" t="s">
        <v>36</v>
      </c>
      <c r="R1" s="11" t="s">
        <v>37</v>
      </c>
      <c r="S1" s="1" t="s">
        <v>38</v>
      </c>
    </row>
    <row r="2" spans="1:19">
      <c r="A2" t="s">
        <v>12</v>
      </c>
      <c r="B2" t="s">
        <v>39</v>
      </c>
      <c r="C2" t="s">
        <v>40</v>
      </c>
      <c r="D2" t="s">
        <v>41</v>
      </c>
      <c r="E2" s="8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49</v>
      </c>
      <c r="N2" s="9" t="s">
        <v>50</v>
      </c>
      <c r="O2" t="s">
        <v>51</v>
      </c>
      <c r="P2" t="b">
        <v>1</v>
      </c>
      <c r="Q2" t="b">
        <v>0</v>
      </c>
      <c r="R2" t="str">
        <f>IF(AND(P2=TRUE, Q2=FALSE), "Spirit",   IF(AND(P2=FALSE, Q2=TRUE), "Beer",   IF(AND(P2=TRUE, Q2=TRUE), "All",   IF(AND(P2="", Q2=""), "Bulk", "Bulk"))))</f>
        <v>Spirit</v>
      </c>
      <c r="S2" t="str">
        <f>IF(AND(P2=TRUE, Q2=FALSE), "Bottle Pouring",   IF(AND(P2=FALSE, Q2=TRUE), "Tap Pouring",   IF(AND(P2=TRUE, Q2=TRUE), "All",   IF(AND(P2="", Q2=""), "Bulk", "Bulk"))))</f>
        <v>Bottle Pouring</v>
      </c>
    </row>
    <row r="3" spans="1:19">
      <c r="A3" t="s">
        <v>12</v>
      </c>
      <c r="B3" t="s">
        <v>52</v>
      </c>
      <c r="C3" t="s">
        <v>53</v>
      </c>
      <c r="D3" t="s">
        <v>41</v>
      </c>
      <c r="E3" s="8" t="s">
        <v>54</v>
      </c>
      <c r="F3" t="s">
        <v>43</v>
      </c>
      <c r="G3" t="s">
        <v>44</v>
      </c>
      <c r="H3" t="s">
        <v>45</v>
      </c>
      <c r="I3" t="s">
        <v>46</v>
      </c>
      <c r="J3" t="s">
        <v>55</v>
      </c>
      <c r="K3" t="s">
        <v>48</v>
      </c>
      <c r="L3" t="s">
        <v>49</v>
      </c>
      <c r="M3" t="s">
        <v>49</v>
      </c>
      <c r="N3" s="9" t="s">
        <v>50</v>
      </c>
      <c r="O3" t="s">
        <v>56</v>
      </c>
      <c r="P3" t="b">
        <v>1</v>
      </c>
      <c r="Q3" t="b">
        <v>1</v>
      </c>
      <c r="R3" t="str">
        <f>IF(AND(P3=TRUE, Q3=FALSE), "Spirit",   IF(AND(P3=FALSE, Q3=TRUE), "Beer",   IF(AND(P3=TRUE, Q3=TRUE), "All",   IF(AND(P3="", Q3=""), "Bulk", "Bulk"))))</f>
        <v>All</v>
      </c>
      <c r="S3" t="str">
        <f t="shared" ref="S3:S6" si="0">IF(AND(P3=TRUE, Q3=FALSE), "Bottle Pouring",   IF(AND(P3=FALSE, Q3=TRUE), "Tap Pouring",   IF(AND(P3=TRUE, Q3=TRUE), "All",   IF(AND(P3="", Q3=""), "Bulk", "Bulk"))))</f>
        <v>All</v>
      </c>
    </row>
    <row r="4" spans="1:19" ht="15.6">
      <c r="A4" t="s">
        <v>18</v>
      </c>
      <c r="B4" t="s">
        <v>57</v>
      </c>
      <c r="C4" t="s">
        <v>58</v>
      </c>
      <c r="D4" t="s">
        <v>59</v>
      </c>
      <c r="E4" s="8" t="s">
        <v>60</v>
      </c>
      <c r="F4" t="s">
        <v>43</v>
      </c>
      <c r="G4" t="s">
        <v>44</v>
      </c>
      <c r="H4" t="s">
        <v>45</v>
      </c>
      <c r="I4" t="s">
        <v>46</v>
      </c>
      <c r="J4" t="s">
        <v>61</v>
      </c>
      <c r="K4" t="s">
        <v>48</v>
      </c>
      <c r="L4" t="s">
        <v>49</v>
      </c>
      <c r="M4" t="s">
        <v>49</v>
      </c>
      <c r="N4" s="9" t="s">
        <v>50</v>
      </c>
      <c r="O4" s="10" t="s">
        <v>62</v>
      </c>
      <c r="P4" t="b">
        <v>1</v>
      </c>
      <c r="Q4" t="b">
        <v>1</v>
      </c>
      <c r="R4" t="str">
        <f t="shared" ref="R4:R6" si="1">IF(AND(P4=TRUE, Q4=FALSE), "Spirit",   IF(AND(P4=FALSE, Q4=TRUE), "Beer",   IF(AND(P4=TRUE, Q4=TRUE), "All",   IF(AND(P4="", Q4=""), "Bulk", "Bulk"))))</f>
        <v>All</v>
      </c>
      <c r="S4" t="str">
        <f t="shared" si="0"/>
        <v>All</v>
      </c>
    </row>
    <row r="5" spans="1:19" ht="15.6">
      <c r="A5" t="s">
        <v>18</v>
      </c>
      <c r="B5" t="s">
        <v>63</v>
      </c>
      <c r="C5" t="s">
        <v>64</v>
      </c>
      <c r="D5" t="s">
        <v>59</v>
      </c>
      <c r="E5" s="8" t="s">
        <v>65</v>
      </c>
      <c r="F5" t="s">
        <v>43</v>
      </c>
      <c r="G5" t="s">
        <v>44</v>
      </c>
      <c r="H5" t="s">
        <v>45</v>
      </c>
      <c r="I5" t="s">
        <v>46</v>
      </c>
      <c r="J5" t="s">
        <v>66</v>
      </c>
      <c r="K5" t="s">
        <v>48</v>
      </c>
      <c r="L5" t="s">
        <v>49</v>
      </c>
      <c r="M5" t="s">
        <v>49</v>
      </c>
      <c r="N5" s="9" t="s">
        <v>50</v>
      </c>
      <c r="O5" s="10" t="s">
        <v>67</v>
      </c>
      <c r="P5" t="b">
        <v>0</v>
      </c>
      <c r="Q5" t="b">
        <v>0</v>
      </c>
      <c r="R5" t="str">
        <f t="shared" si="1"/>
        <v>Bulk</v>
      </c>
      <c r="S5" t="str">
        <f t="shared" si="0"/>
        <v>Bulk</v>
      </c>
    </row>
    <row r="6" spans="1:19" ht="15.6">
      <c r="A6" t="s">
        <v>18</v>
      </c>
      <c r="B6" t="s">
        <v>68</v>
      </c>
      <c r="C6" t="s">
        <v>69</v>
      </c>
      <c r="D6" t="s">
        <v>59</v>
      </c>
      <c r="E6" s="8" t="s">
        <v>70</v>
      </c>
      <c r="F6" t="s">
        <v>43</v>
      </c>
      <c r="G6" t="s">
        <v>44</v>
      </c>
      <c r="H6" t="s">
        <v>45</v>
      </c>
      <c r="I6" t="s">
        <v>46</v>
      </c>
      <c r="J6" t="s">
        <v>71</v>
      </c>
      <c r="K6" t="s">
        <v>48</v>
      </c>
      <c r="L6" t="s">
        <v>49</v>
      </c>
      <c r="M6" t="s">
        <v>49</v>
      </c>
      <c r="N6" s="9" t="s">
        <v>50</v>
      </c>
      <c r="O6" s="10" t="s">
        <v>72</v>
      </c>
      <c r="P6" t="b">
        <v>0</v>
      </c>
      <c r="Q6" t="b">
        <v>1</v>
      </c>
      <c r="R6" t="str">
        <f t="shared" si="1"/>
        <v>Beer</v>
      </c>
      <c r="S6" t="str">
        <f t="shared" si="0"/>
        <v>Tap Pouring</v>
      </c>
    </row>
  </sheetData>
  <hyperlinks>
    <hyperlink ref="N2" r:id="rId1"/>
    <hyperlink ref="N3" r:id="rId2"/>
    <hyperlink ref="N4" r:id="rId3"/>
    <hyperlink ref="N5" r:id="rId4"/>
    <hyperlink ref="N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F5" sqref="F5"/>
    </sheetView>
  </sheetViews>
  <sheetFormatPr defaultRowHeight="14.4"/>
  <cols>
    <col min="1" max="1" width="17.109375" bestFit="1" customWidth="1"/>
    <col min="2" max="2" width="12.44140625" bestFit="1" customWidth="1"/>
    <col min="4" max="4" width="16.44140625" bestFit="1" customWidth="1"/>
    <col min="5" max="5" width="13.6640625" bestFit="1" customWidth="1"/>
    <col min="6" max="6" width="14" bestFit="1" customWidth="1"/>
  </cols>
  <sheetData>
    <row r="1" spans="1:6">
      <c r="A1" s="1" t="s">
        <v>73</v>
      </c>
      <c r="B1" s="2" t="s">
        <v>21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78</v>
      </c>
      <c r="B2" t="s">
        <v>39</v>
      </c>
      <c r="C2" t="s">
        <v>79</v>
      </c>
      <c r="D2" t="s">
        <v>80</v>
      </c>
      <c r="E2" t="s">
        <v>81</v>
      </c>
      <c r="F2" t="s">
        <v>82</v>
      </c>
    </row>
    <row r="3" spans="1:6">
      <c r="A3" t="s">
        <v>83</v>
      </c>
      <c r="B3" t="s">
        <v>39</v>
      </c>
      <c r="C3" t="s">
        <v>79</v>
      </c>
      <c r="D3" t="s">
        <v>80</v>
      </c>
      <c r="E3" t="s">
        <v>81</v>
      </c>
      <c r="F3" t="s">
        <v>82</v>
      </c>
    </row>
    <row r="4" spans="1:6">
      <c r="A4" t="s">
        <v>78</v>
      </c>
      <c r="B4" t="s">
        <v>52</v>
      </c>
      <c r="C4" t="s">
        <v>79</v>
      </c>
      <c r="D4" t="s">
        <v>80</v>
      </c>
      <c r="E4" t="s">
        <v>81</v>
      </c>
      <c r="F4" t="s">
        <v>82</v>
      </c>
    </row>
    <row r="5" spans="1:6">
      <c r="A5" t="s">
        <v>83</v>
      </c>
      <c r="B5" t="s">
        <v>52</v>
      </c>
      <c r="C5" t="s">
        <v>79</v>
      </c>
      <c r="D5" t="s">
        <v>80</v>
      </c>
      <c r="E5" t="s">
        <v>81</v>
      </c>
      <c r="F5" t="s">
        <v>82</v>
      </c>
    </row>
    <row r="6" spans="1:6">
      <c r="A6" t="s">
        <v>78</v>
      </c>
      <c r="B6" t="s">
        <v>57</v>
      </c>
      <c r="C6" t="s">
        <v>79</v>
      </c>
      <c r="D6" t="s">
        <v>80</v>
      </c>
      <c r="E6" t="s">
        <v>81</v>
      </c>
      <c r="F6" t="s">
        <v>82</v>
      </c>
    </row>
    <row r="7" spans="1:6">
      <c r="A7" t="s">
        <v>83</v>
      </c>
      <c r="B7" t="s">
        <v>57</v>
      </c>
      <c r="C7" t="s">
        <v>79</v>
      </c>
      <c r="D7" t="s">
        <v>80</v>
      </c>
      <c r="E7" t="s">
        <v>81</v>
      </c>
      <c r="F7" t="s">
        <v>82</v>
      </c>
    </row>
    <row r="8" spans="1:6">
      <c r="A8" t="s">
        <v>78</v>
      </c>
      <c r="B8" t="s">
        <v>63</v>
      </c>
      <c r="C8" t="s">
        <v>79</v>
      </c>
      <c r="D8" t="s">
        <v>80</v>
      </c>
      <c r="E8" t="s">
        <v>81</v>
      </c>
      <c r="F8" t="s">
        <v>82</v>
      </c>
    </row>
    <row r="9" spans="1:6">
      <c r="A9" t="s">
        <v>83</v>
      </c>
      <c r="B9" t="s">
        <v>63</v>
      </c>
      <c r="C9" t="s">
        <v>79</v>
      </c>
      <c r="D9" t="s">
        <v>80</v>
      </c>
      <c r="E9" t="s">
        <v>81</v>
      </c>
      <c r="F9" t="s">
        <v>82</v>
      </c>
    </row>
    <row r="10" spans="1:6">
      <c r="A10" t="s">
        <v>78</v>
      </c>
      <c r="B10" t="s">
        <v>68</v>
      </c>
      <c r="C10" t="s">
        <v>79</v>
      </c>
      <c r="D10" t="s">
        <v>80</v>
      </c>
      <c r="E10" t="s">
        <v>81</v>
      </c>
      <c r="F10" t="s">
        <v>82</v>
      </c>
    </row>
    <row r="11" spans="1:6">
      <c r="A11" t="s">
        <v>83</v>
      </c>
      <c r="B11" t="s">
        <v>68</v>
      </c>
      <c r="C11" t="s">
        <v>79</v>
      </c>
      <c r="D11" t="s">
        <v>80</v>
      </c>
      <c r="E11" t="s">
        <v>81</v>
      </c>
      <c r="F1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D18" sqref="D18"/>
    </sheetView>
  </sheetViews>
  <sheetFormatPr defaultRowHeight="14.4"/>
  <cols>
    <col min="1" max="1" width="12.44140625" bestFit="1" customWidth="1"/>
    <col min="2" max="2" width="13.44140625" bestFit="1" customWidth="1"/>
    <col min="3" max="3" width="17.6640625" bestFit="1" customWidth="1"/>
    <col min="4" max="4" width="16.6640625" bestFit="1" customWidth="1"/>
  </cols>
  <sheetData>
    <row r="1" spans="1:4">
      <c r="A1" s="2" t="s">
        <v>21</v>
      </c>
      <c r="B1" s="1" t="s">
        <v>84</v>
      </c>
      <c r="C1" s="2" t="s">
        <v>85</v>
      </c>
      <c r="D1" s="11"/>
    </row>
    <row r="2" spans="1:4">
      <c r="A2" t="s">
        <v>39</v>
      </c>
      <c r="B2" t="s">
        <v>86</v>
      </c>
      <c r="C2" t="s">
        <v>87</v>
      </c>
    </row>
    <row r="3" spans="1:4">
      <c r="A3" t="s">
        <v>39</v>
      </c>
      <c r="B3" t="s">
        <v>88</v>
      </c>
      <c r="C3" t="s">
        <v>87</v>
      </c>
    </row>
    <row r="4" spans="1:4">
      <c r="A4" t="s">
        <v>52</v>
      </c>
      <c r="B4" t="s">
        <v>89</v>
      </c>
      <c r="C4" t="s">
        <v>87</v>
      </c>
    </row>
    <row r="5" spans="1:4">
      <c r="A5" t="s">
        <v>52</v>
      </c>
      <c r="B5" t="s">
        <v>90</v>
      </c>
      <c r="C5" t="s">
        <v>36</v>
      </c>
    </row>
    <row r="6" spans="1:4">
      <c r="A6" t="s">
        <v>57</v>
      </c>
      <c r="B6" t="s">
        <v>91</v>
      </c>
      <c r="C6" t="s">
        <v>87</v>
      </c>
    </row>
    <row r="7" spans="1:4">
      <c r="A7" t="s">
        <v>57</v>
      </c>
      <c r="B7" t="s">
        <v>92</v>
      </c>
      <c r="C7" t="s">
        <v>36</v>
      </c>
    </row>
    <row r="8" spans="1:4">
      <c r="A8" t="s">
        <v>63</v>
      </c>
      <c r="B8" t="s">
        <v>93</v>
      </c>
      <c r="C8" t="s">
        <v>94</v>
      </c>
    </row>
    <row r="9" spans="1:4">
      <c r="A9" t="s">
        <v>63</v>
      </c>
      <c r="B9" t="s">
        <v>95</v>
      </c>
      <c r="C9" s="12" t="s">
        <v>94</v>
      </c>
    </row>
    <row r="10" spans="1:4">
      <c r="A10" t="s">
        <v>68</v>
      </c>
      <c r="B10" t="s">
        <v>96</v>
      </c>
      <c r="C10" t="s">
        <v>36</v>
      </c>
    </row>
    <row r="11" spans="1:4">
      <c r="A11" t="s">
        <v>68</v>
      </c>
      <c r="B11" t="s">
        <v>97</v>
      </c>
      <c r="C1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D6" sqref="D6"/>
    </sheetView>
  </sheetViews>
  <sheetFormatPr defaultRowHeight="14.4"/>
  <cols>
    <col min="1" max="1" width="11" bestFit="1" customWidth="1"/>
    <col min="2" max="2" width="13.44140625" bestFit="1" customWidth="1"/>
    <col min="4" max="4" width="9.6640625" bestFit="1" customWidth="1"/>
    <col min="5" max="5" width="12.44140625" bestFit="1" customWidth="1"/>
    <col min="6" max="6" width="14.44140625" bestFit="1" customWidth="1"/>
    <col min="7" max="7" width="12.5546875" bestFit="1" customWidth="1"/>
    <col min="8" max="8" width="13.44140625" bestFit="1" customWidth="1"/>
    <col min="9" max="9" width="12.44140625" bestFit="1" customWidth="1"/>
  </cols>
  <sheetData>
    <row r="1" spans="1:9">
      <c r="A1" s="1" t="s">
        <v>98</v>
      </c>
      <c r="B1" s="1" t="s">
        <v>84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2" t="s">
        <v>85</v>
      </c>
      <c r="I1" s="11" t="s">
        <v>21</v>
      </c>
    </row>
    <row r="2" spans="1:9">
      <c r="A2" t="s">
        <v>104</v>
      </c>
      <c r="B2" t="s">
        <v>86</v>
      </c>
      <c r="C2" t="s">
        <v>105</v>
      </c>
      <c r="D2" t="s">
        <v>106</v>
      </c>
      <c r="E2" t="s">
        <v>107</v>
      </c>
      <c r="F2" t="s">
        <v>108</v>
      </c>
      <c r="G2" t="s">
        <v>82</v>
      </c>
      <c r="H2" t="s">
        <v>109</v>
      </c>
      <c r="I2" t="s">
        <v>39</v>
      </c>
    </row>
    <row r="3" spans="1:9">
      <c r="A3" t="s">
        <v>110</v>
      </c>
      <c r="B3" t="s">
        <v>86</v>
      </c>
      <c r="C3" t="s">
        <v>105</v>
      </c>
      <c r="D3" t="s">
        <v>106</v>
      </c>
      <c r="E3" t="s">
        <v>107</v>
      </c>
      <c r="F3" t="s">
        <v>108</v>
      </c>
      <c r="G3" t="s">
        <v>82</v>
      </c>
      <c r="H3" t="s">
        <v>109</v>
      </c>
      <c r="I3" t="s">
        <v>39</v>
      </c>
    </row>
    <row r="4" spans="1:9">
      <c r="A4" t="s">
        <v>111</v>
      </c>
      <c r="B4" t="s">
        <v>88</v>
      </c>
      <c r="C4" t="s">
        <v>105</v>
      </c>
      <c r="D4" t="s">
        <v>106</v>
      </c>
      <c r="E4" t="s">
        <v>107</v>
      </c>
      <c r="F4" t="s">
        <v>108</v>
      </c>
      <c r="G4" t="s">
        <v>82</v>
      </c>
      <c r="H4" t="s">
        <v>109</v>
      </c>
      <c r="I4" t="s">
        <v>39</v>
      </c>
    </row>
    <row r="5" spans="1:9">
      <c r="A5" t="s">
        <v>112</v>
      </c>
      <c r="B5" t="s">
        <v>88</v>
      </c>
      <c r="C5" t="s">
        <v>105</v>
      </c>
      <c r="D5" t="s">
        <v>106</v>
      </c>
      <c r="E5" t="s">
        <v>107</v>
      </c>
      <c r="F5" t="s">
        <v>108</v>
      </c>
      <c r="G5" t="s">
        <v>82</v>
      </c>
      <c r="H5" t="s">
        <v>109</v>
      </c>
      <c r="I5" t="s">
        <v>39</v>
      </c>
    </row>
    <row r="6" spans="1:9">
      <c r="A6" t="s">
        <v>113</v>
      </c>
      <c r="B6" t="s">
        <v>89</v>
      </c>
      <c r="C6" t="s">
        <v>105</v>
      </c>
      <c r="D6" t="s">
        <v>106</v>
      </c>
      <c r="E6" t="s">
        <v>107</v>
      </c>
      <c r="F6" t="s">
        <v>108</v>
      </c>
      <c r="G6" t="s">
        <v>82</v>
      </c>
      <c r="H6" t="s">
        <v>109</v>
      </c>
      <c r="I6" t="s">
        <v>52</v>
      </c>
    </row>
    <row r="7" spans="1:9">
      <c r="A7" t="s">
        <v>114</v>
      </c>
      <c r="B7" t="s">
        <v>89</v>
      </c>
      <c r="C7" t="s">
        <v>105</v>
      </c>
      <c r="D7" t="s">
        <v>106</v>
      </c>
      <c r="E7" t="s">
        <v>107</v>
      </c>
      <c r="F7" t="s">
        <v>108</v>
      </c>
      <c r="G7" t="s">
        <v>82</v>
      </c>
      <c r="H7" t="s">
        <v>109</v>
      </c>
      <c r="I7" t="s">
        <v>52</v>
      </c>
    </row>
    <row r="8" spans="1:9">
      <c r="A8" t="s">
        <v>115</v>
      </c>
      <c r="B8" t="s">
        <v>90</v>
      </c>
      <c r="C8" t="s">
        <v>105</v>
      </c>
      <c r="D8" t="s">
        <v>106</v>
      </c>
      <c r="E8" t="s">
        <v>107</v>
      </c>
      <c r="F8" t="s">
        <v>108</v>
      </c>
      <c r="G8" t="s">
        <v>82</v>
      </c>
      <c r="H8" t="s">
        <v>116</v>
      </c>
      <c r="I8" t="s">
        <v>52</v>
      </c>
    </row>
    <row r="9" spans="1:9">
      <c r="A9" t="s">
        <v>117</v>
      </c>
      <c r="B9" t="s">
        <v>90</v>
      </c>
      <c r="C9" t="s">
        <v>105</v>
      </c>
      <c r="D9" t="s">
        <v>106</v>
      </c>
      <c r="E9" t="s">
        <v>107</v>
      </c>
      <c r="F9" t="s">
        <v>108</v>
      </c>
      <c r="G9" t="s">
        <v>82</v>
      </c>
      <c r="H9" t="s">
        <v>116</v>
      </c>
      <c r="I9" t="s">
        <v>52</v>
      </c>
    </row>
    <row r="10" spans="1:9">
      <c r="A10" t="s">
        <v>118</v>
      </c>
      <c r="B10" t="s">
        <v>91</v>
      </c>
      <c r="C10" t="s">
        <v>105</v>
      </c>
      <c r="D10" t="s">
        <v>106</v>
      </c>
      <c r="E10" t="s">
        <v>107</v>
      </c>
      <c r="F10" t="s">
        <v>108</v>
      </c>
      <c r="G10" t="s">
        <v>82</v>
      </c>
      <c r="H10" t="s">
        <v>109</v>
      </c>
      <c r="I10" t="s">
        <v>57</v>
      </c>
    </row>
    <row r="11" spans="1:9">
      <c r="A11" t="s">
        <v>119</v>
      </c>
      <c r="B11" t="s">
        <v>91</v>
      </c>
      <c r="C11" t="s">
        <v>105</v>
      </c>
      <c r="D11" t="s">
        <v>106</v>
      </c>
      <c r="E11" t="s">
        <v>107</v>
      </c>
      <c r="F11" t="s">
        <v>108</v>
      </c>
      <c r="G11" t="s">
        <v>82</v>
      </c>
      <c r="H11" t="s">
        <v>109</v>
      </c>
      <c r="I11" t="s">
        <v>57</v>
      </c>
    </row>
    <row r="12" spans="1:9">
      <c r="A12" t="s">
        <v>120</v>
      </c>
      <c r="B12" t="s">
        <v>92</v>
      </c>
      <c r="C12" t="s">
        <v>105</v>
      </c>
      <c r="D12" t="s">
        <v>106</v>
      </c>
      <c r="E12" t="s">
        <v>107</v>
      </c>
      <c r="F12" t="s">
        <v>108</v>
      </c>
      <c r="G12" t="s">
        <v>82</v>
      </c>
      <c r="H12" t="s">
        <v>116</v>
      </c>
      <c r="I12" t="s">
        <v>57</v>
      </c>
    </row>
    <row r="13" spans="1:9">
      <c r="A13" t="s">
        <v>121</v>
      </c>
      <c r="B13" t="s">
        <v>92</v>
      </c>
      <c r="C13" t="s">
        <v>105</v>
      </c>
      <c r="D13" t="s">
        <v>106</v>
      </c>
      <c r="E13" t="s">
        <v>107</v>
      </c>
      <c r="F13" t="s">
        <v>108</v>
      </c>
      <c r="G13" t="s">
        <v>82</v>
      </c>
      <c r="H13" t="s">
        <v>116</v>
      </c>
      <c r="I13" t="s">
        <v>57</v>
      </c>
    </row>
    <row r="14" spans="1:9">
      <c r="A14" t="s">
        <v>122</v>
      </c>
      <c r="B14" t="s">
        <v>93</v>
      </c>
      <c r="C14" t="s">
        <v>105</v>
      </c>
      <c r="D14" t="s">
        <v>106</v>
      </c>
      <c r="E14" t="s">
        <v>107</v>
      </c>
      <c r="F14" t="s">
        <v>108</v>
      </c>
      <c r="G14" t="s">
        <v>82</v>
      </c>
      <c r="H14" t="s">
        <v>123</v>
      </c>
      <c r="I14" t="s">
        <v>63</v>
      </c>
    </row>
    <row r="15" spans="1:9">
      <c r="A15" t="s">
        <v>124</v>
      </c>
      <c r="B15" t="s">
        <v>93</v>
      </c>
      <c r="C15" t="s">
        <v>105</v>
      </c>
      <c r="D15" t="s">
        <v>106</v>
      </c>
      <c r="E15" t="s">
        <v>107</v>
      </c>
      <c r="F15" t="s">
        <v>108</v>
      </c>
      <c r="G15" t="s">
        <v>82</v>
      </c>
      <c r="H15" t="s">
        <v>123</v>
      </c>
      <c r="I15" t="s">
        <v>63</v>
      </c>
    </row>
    <row r="16" spans="1:9">
      <c r="A16" t="s">
        <v>125</v>
      </c>
      <c r="B16" t="s">
        <v>95</v>
      </c>
      <c r="C16" t="s">
        <v>105</v>
      </c>
      <c r="D16" t="s">
        <v>106</v>
      </c>
      <c r="E16" t="s">
        <v>107</v>
      </c>
      <c r="F16" t="s">
        <v>108</v>
      </c>
      <c r="G16" t="s">
        <v>82</v>
      </c>
      <c r="H16" t="s">
        <v>123</v>
      </c>
      <c r="I16" t="s">
        <v>63</v>
      </c>
    </row>
    <row r="17" spans="1:9">
      <c r="A17" t="s">
        <v>126</v>
      </c>
      <c r="B17" t="s">
        <v>95</v>
      </c>
      <c r="C17" t="s">
        <v>105</v>
      </c>
      <c r="D17" t="s">
        <v>106</v>
      </c>
      <c r="E17" t="s">
        <v>107</v>
      </c>
      <c r="F17" t="s">
        <v>108</v>
      </c>
      <c r="G17" t="s">
        <v>82</v>
      </c>
      <c r="H17" t="s">
        <v>123</v>
      </c>
      <c r="I17" t="s">
        <v>63</v>
      </c>
    </row>
    <row r="18" spans="1:9">
      <c r="A18" t="s">
        <v>127</v>
      </c>
      <c r="B18" t="s">
        <v>96</v>
      </c>
      <c r="C18" t="s">
        <v>105</v>
      </c>
      <c r="D18" t="s">
        <v>106</v>
      </c>
      <c r="E18" t="s">
        <v>107</v>
      </c>
      <c r="F18" t="s">
        <v>108</v>
      </c>
      <c r="G18" t="s">
        <v>82</v>
      </c>
      <c r="H18" t="s">
        <v>116</v>
      </c>
      <c r="I18" t="s">
        <v>68</v>
      </c>
    </row>
    <row r="19" spans="1:9">
      <c r="A19" t="s">
        <v>128</v>
      </c>
      <c r="B19" t="s">
        <v>96</v>
      </c>
      <c r="C19" t="s">
        <v>105</v>
      </c>
      <c r="D19" t="s">
        <v>106</v>
      </c>
      <c r="E19" t="s">
        <v>107</v>
      </c>
      <c r="F19" t="s">
        <v>108</v>
      </c>
      <c r="G19" t="s">
        <v>82</v>
      </c>
      <c r="H19" t="s">
        <v>116</v>
      </c>
      <c r="I19" t="s">
        <v>68</v>
      </c>
    </row>
    <row r="20" spans="1:9">
      <c r="A20" t="s">
        <v>129</v>
      </c>
      <c r="B20" t="s">
        <v>97</v>
      </c>
      <c r="C20" t="s">
        <v>105</v>
      </c>
      <c r="D20" t="s">
        <v>106</v>
      </c>
      <c r="E20" t="s">
        <v>107</v>
      </c>
      <c r="F20" t="s">
        <v>108</v>
      </c>
      <c r="G20" t="s">
        <v>82</v>
      </c>
      <c r="H20" t="s">
        <v>116</v>
      </c>
      <c r="I20" t="s">
        <v>68</v>
      </c>
    </row>
    <row r="21" spans="1:9">
      <c r="A21" t="s">
        <v>130</v>
      </c>
      <c r="B21" t="s">
        <v>97</v>
      </c>
      <c r="C21" t="s">
        <v>105</v>
      </c>
      <c r="D21" t="s">
        <v>106</v>
      </c>
      <c r="E21" t="s">
        <v>107</v>
      </c>
      <c r="F21" t="s">
        <v>108</v>
      </c>
      <c r="G21" t="s">
        <v>82</v>
      </c>
      <c r="H21" t="s">
        <v>116</v>
      </c>
      <c r="I2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E14" sqref="E14"/>
    </sheetView>
  </sheetViews>
  <sheetFormatPr defaultRowHeight="14.4"/>
  <cols>
    <col min="1" max="1" width="10" bestFit="1" customWidth="1"/>
    <col min="2" max="2" width="10.5546875" bestFit="1" customWidth="1"/>
  </cols>
  <sheetData>
    <row r="1" spans="1:2">
      <c r="A1" s="1" t="s">
        <v>131</v>
      </c>
      <c r="B1" s="1" t="s">
        <v>132</v>
      </c>
    </row>
    <row r="2" spans="1:2">
      <c r="A2" t="s">
        <v>211</v>
      </c>
      <c r="B2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8"/>
  <sheetViews>
    <sheetView topLeftCell="D1" workbookViewId="0">
      <selection activeCell="D2" sqref="D2"/>
    </sheetView>
  </sheetViews>
  <sheetFormatPr defaultColWidth="9.109375" defaultRowHeight="14.4"/>
  <cols>
    <col min="1" max="1" width="13.44140625" style="14" bestFit="1" customWidth="1"/>
    <col min="2" max="2" width="13.5546875" style="14" bestFit="1" customWidth="1"/>
    <col min="3" max="3" width="10.5546875" style="14" bestFit="1" customWidth="1"/>
    <col min="4" max="4" width="9.109375" style="14"/>
    <col min="5" max="5" width="13.44140625" style="14" bestFit="1" customWidth="1"/>
    <col min="6" max="6" width="9.109375" style="14"/>
    <col min="7" max="7" width="12.109375" style="14" bestFit="1" customWidth="1"/>
    <col min="8" max="8" width="15.33203125" style="14" bestFit="1" customWidth="1"/>
    <col min="9" max="9" width="9.109375" style="14"/>
    <col min="10" max="10" width="9.44140625" style="14" bestFit="1" customWidth="1"/>
    <col min="11" max="14" width="9.109375" style="14"/>
    <col min="15" max="15" width="27.88671875" style="14" bestFit="1" customWidth="1"/>
    <col min="16" max="16384" width="9.109375" style="14"/>
  </cols>
  <sheetData>
    <row r="1" spans="1:16" s="13" customFormat="1">
      <c r="A1" s="1" t="s">
        <v>85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O1" s="13" t="s">
        <v>142</v>
      </c>
    </row>
    <row r="2" spans="1:16">
      <c r="A2" t="s">
        <v>109</v>
      </c>
      <c r="B2" s="12" t="s">
        <v>89</v>
      </c>
      <c r="C2" t="s">
        <v>52</v>
      </c>
      <c r="D2" t="s">
        <v>105</v>
      </c>
      <c r="E2" t="s">
        <v>113</v>
      </c>
      <c r="F2" t="s">
        <v>82</v>
      </c>
      <c r="G2" t="s">
        <v>105</v>
      </c>
      <c r="H2"/>
      <c r="I2" s="8" t="s">
        <v>82</v>
      </c>
      <c r="O2" s="14" t="s">
        <v>143</v>
      </c>
    </row>
    <row r="3" spans="1:16">
      <c r="A3" t="s">
        <v>109</v>
      </c>
      <c r="B3" s="12" t="s">
        <v>89</v>
      </c>
      <c r="C3" t="s">
        <v>52</v>
      </c>
      <c r="D3" t="s">
        <v>144</v>
      </c>
      <c r="E3" t="s">
        <v>113</v>
      </c>
      <c r="F3" t="s">
        <v>81</v>
      </c>
      <c r="G3" t="s">
        <v>144</v>
      </c>
      <c r="H3"/>
      <c r="I3" s="8" t="s">
        <v>81</v>
      </c>
      <c r="O3" s="14" t="s">
        <v>145</v>
      </c>
    </row>
    <row r="4" spans="1:16">
      <c r="A4" t="s">
        <v>109</v>
      </c>
      <c r="B4" s="12" t="s">
        <v>89</v>
      </c>
      <c r="C4" t="s">
        <v>52</v>
      </c>
      <c r="D4" t="s">
        <v>146</v>
      </c>
      <c r="E4" t="s">
        <v>113</v>
      </c>
      <c r="F4" t="s">
        <v>147</v>
      </c>
      <c r="G4" t="s">
        <v>146</v>
      </c>
      <c r="H4"/>
      <c r="I4" s="8" t="s">
        <v>147</v>
      </c>
      <c r="O4" s="14" t="s">
        <v>148</v>
      </c>
    </row>
    <row r="5" spans="1:16">
      <c r="A5" t="s">
        <v>109</v>
      </c>
      <c r="B5" s="12" t="s">
        <v>89</v>
      </c>
      <c r="C5" t="s">
        <v>52</v>
      </c>
      <c r="D5" t="s">
        <v>149</v>
      </c>
      <c r="E5" t="s">
        <v>114</v>
      </c>
      <c r="F5" t="s">
        <v>150</v>
      </c>
      <c r="G5" t="s">
        <v>149</v>
      </c>
      <c r="H5"/>
      <c r="I5" s="8" t="s">
        <v>150</v>
      </c>
      <c r="O5" s="14" t="s">
        <v>151</v>
      </c>
      <c r="P5" s="14" t="s">
        <v>152</v>
      </c>
    </row>
    <row r="6" spans="1:16">
      <c r="A6" t="s">
        <v>109</v>
      </c>
      <c r="B6" s="12" t="s">
        <v>89</v>
      </c>
      <c r="C6" t="s">
        <v>52</v>
      </c>
      <c r="D6" t="s">
        <v>153</v>
      </c>
      <c r="E6" t="s">
        <v>114</v>
      </c>
      <c r="F6" t="s">
        <v>154</v>
      </c>
      <c r="G6" t="s">
        <v>153</v>
      </c>
      <c r="H6"/>
      <c r="I6" s="8" t="s">
        <v>154</v>
      </c>
    </row>
    <row r="7" spans="1:16">
      <c r="A7" t="s">
        <v>116</v>
      </c>
      <c r="B7" t="s">
        <v>90</v>
      </c>
      <c r="C7" t="s">
        <v>52</v>
      </c>
      <c r="D7" t="s">
        <v>155</v>
      </c>
      <c r="E7" t="s">
        <v>115</v>
      </c>
      <c r="F7" t="s">
        <v>156</v>
      </c>
      <c r="G7" t="s">
        <v>155</v>
      </c>
      <c r="H7"/>
      <c r="I7" s="8" t="s">
        <v>156</v>
      </c>
    </row>
    <row r="8" spans="1:16">
      <c r="A8" t="s">
        <v>116</v>
      </c>
      <c r="B8" t="s">
        <v>90</v>
      </c>
      <c r="C8" t="s">
        <v>52</v>
      </c>
      <c r="D8" t="s">
        <v>157</v>
      </c>
      <c r="E8" t="s">
        <v>115</v>
      </c>
      <c r="F8" t="s">
        <v>158</v>
      </c>
      <c r="G8" t="s">
        <v>157</v>
      </c>
      <c r="H8"/>
      <c r="I8" s="8" t="s">
        <v>158</v>
      </c>
    </row>
    <row r="9" spans="1:16">
      <c r="A9" t="s">
        <v>116</v>
      </c>
      <c r="B9" t="s">
        <v>90</v>
      </c>
      <c r="C9" t="s">
        <v>52</v>
      </c>
      <c r="D9" t="s">
        <v>159</v>
      </c>
      <c r="E9" t="s">
        <v>115</v>
      </c>
      <c r="F9" t="s">
        <v>160</v>
      </c>
      <c r="G9" t="s">
        <v>159</v>
      </c>
      <c r="H9"/>
      <c r="I9" s="8" t="s">
        <v>160</v>
      </c>
    </row>
    <row r="10" spans="1:16">
      <c r="A10" t="s">
        <v>116</v>
      </c>
      <c r="B10" t="s">
        <v>90</v>
      </c>
      <c r="C10" t="s">
        <v>52</v>
      </c>
      <c r="D10" t="s">
        <v>161</v>
      </c>
      <c r="E10" t="s">
        <v>117</v>
      </c>
      <c r="F10" t="s">
        <v>162</v>
      </c>
      <c r="G10" t="s">
        <v>161</v>
      </c>
      <c r="H10"/>
      <c r="I10" s="8" t="s">
        <v>162</v>
      </c>
    </row>
    <row r="11" spans="1:16">
      <c r="A11" t="s">
        <v>116</v>
      </c>
      <c r="B11" t="s">
        <v>90</v>
      </c>
      <c r="C11" t="s">
        <v>52</v>
      </c>
      <c r="D11" t="s">
        <v>82</v>
      </c>
      <c r="E11" t="s">
        <v>117</v>
      </c>
      <c r="F11" t="s">
        <v>107</v>
      </c>
      <c r="G11" t="s">
        <v>82</v>
      </c>
      <c r="H11"/>
      <c r="I11" s="8" t="s">
        <v>107</v>
      </c>
    </row>
    <row r="12" spans="1:16">
      <c r="A12" t="s">
        <v>116</v>
      </c>
      <c r="B12" t="s">
        <v>90</v>
      </c>
      <c r="C12" t="s">
        <v>52</v>
      </c>
      <c r="D12" t="s">
        <v>163</v>
      </c>
      <c r="E12" t="s">
        <v>117</v>
      </c>
      <c r="F12" t="s">
        <v>164</v>
      </c>
      <c r="G12" t="s">
        <v>163</v>
      </c>
      <c r="H12"/>
      <c r="I12" s="8" t="s">
        <v>164</v>
      </c>
    </row>
    <row r="13" spans="1:16">
      <c r="A13" t="s">
        <v>109</v>
      </c>
      <c r="B13" t="s">
        <v>86</v>
      </c>
      <c r="C13" t="s">
        <v>39</v>
      </c>
      <c r="D13" t="s">
        <v>165</v>
      </c>
      <c r="E13" t="s">
        <v>104</v>
      </c>
      <c r="F13" t="s">
        <v>82</v>
      </c>
      <c r="G13" t="s">
        <v>165</v>
      </c>
      <c r="H13"/>
      <c r="I13" t="s">
        <v>82</v>
      </c>
    </row>
    <row r="14" spans="1:16">
      <c r="A14" t="s">
        <v>109</v>
      </c>
      <c r="B14" t="s">
        <v>86</v>
      </c>
      <c r="C14" t="s">
        <v>39</v>
      </c>
      <c r="D14" t="s">
        <v>166</v>
      </c>
      <c r="E14" t="s">
        <v>104</v>
      </c>
      <c r="F14" t="s">
        <v>81</v>
      </c>
      <c r="G14" t="s">
        <v>166</v>
      </c>
      <c r="H14"/>
      <c r="I14" t="s">
        <v>163</v>
      </c>
    </row>
    <row r="15" spans="1:16">
      <c r="A15" t="s">
        <v>109</v>
      </c>
      <c r="B15" t="s">
        <v>86</v>
      </c>
      <c r="C15" t="s">
        <v>39</v>
      </c>
      <c r="D15" t="s">
        <v>167</v>
      </c>
      <c r="E15" t="s">
        <v>104</v>
      </c>
      <c r="F15" t="s">
        <v>147</v>
      </c>
      <c r="G15" t="s">
        <v>167</v>
      </c>
      <c r="H15"/>
      <c r="I15" t="s">
        <v>165</v>
      </c>
    </row>
    <row r="16" spans="1:16">
      <c r="A16" t="s">
        <v>109</v>
      </c>
      <c r="B16" t="s">
        <v>86</v>
      </c>
      <c r="C16" t="s">
        <v>39</v>
      </c>
      <c r="D16" t="s">
        <v>80</v>
      </c>
      <c r="E16" t="s">
        <v>110</v>
      </c>
      <c r="F16" t="s">
        <v>150</v>
      </c>
      <c r="G16" t="s">
        <v>80</v>
      </c>
      <c r="H16"/>
      <c r="I16" t="s">
        <v>166</v>
      </c>
    </row>
    <row r="17" spans="1:16">
      <c r="A17" t="s">
        <v>109</v>
      </c>
      <c r="B17" t="s">
        <v>86</v>
      </c>
      <c r="C17" t="s">
        <v>39</v>
      </c>
      <c r="D17" t="s">
        <v>168</v>
      </c>
      <c r="E17" t="s">
        <v>110</v>
      </c>
      <c r="F17" t="s">
        <v>154</v>
      </c>
      <c r="G17" t="s">
        <v>168</v>
      </c>
      <c r="H17"/>
      <c r="I17" t="s">
        <v>167</v>
      </c>
    </row>
    <row r="18" spans="1:16">
      <c r="A18" t="s">
        <v>109</v>
      </c>
      <c r="B18" t="s">
        <v>86</v>
      </c>
      <c r="C18" t="s">
        <v>39</v>
      </c>
      <c r="D18" t="s">
        <v>169</v>
      </c>
      <c r="E18" t="s">
        <v>110</v>
      </c>
      <c r="F18" t="s">
        <v>156</v>
      </c>
      <c r="G18" t="s">
        <v>169</v>
      </c>
      <c r="H18"/>
      <c r="I18" t="s">
        <v>80</v>
      </c>
    </row>
    <row r="19" spans="1:16">
      <c r="A19" t="s">
        <v>109</v>
      </c>
      <c r="B19" t="s">
        <v>88</v>
      </c>
      <c r="C19" t="s">
        <v>39</v>
      </c>
      <c r="D19" t="s">
        <v>170</v>
      </c>
      <c r="E19" t="s">
        <v>111</v>
      </c>
      <c r="F19" t="s">
        <v>82</v>
      </c>
      <c r="G19" t="s">
        <v>170</v>
      </c>
      <c r="H19"/>
      <c r="I19" t="s">
        <v>82</v>
      </c>
    </row>
    <row r="20" spans="1:16">
      <c r="A20" t="s">
        <v>109</v>
      </c>
      <c r="B20" t="s">
        <v>88</v>
      </c>
      <c r="C20" t="s">
        <v>39</v>
      </c>
      <c r="D20" t="s">
        <v>171</v>
      </c>
      <c r="E20" t="s">
        <v>111</v>
      </c>
      <c r="F20" t="s">
        <v>81</v>
      </c>
      <c r="G20" t="s">
        <v>171</v>
      </c>
      <c r="H20"/>
      <c r="I20" t="s">
        <v>163</v>
      </c>
    </row>
    <row r="21" spans="1:16">
      <c r="A21" t="s">
        <v>109</v>
      </c>
      <c r="B21" t="s">
        <v>88</v>
      </c>
      <c r="C21" t="s">
        <v>39</v>
      </c>
      <c r="D21" t="s">
        <v>81</v>
      </c>
      <c r="E21" t="s">
        <v>111</v>
      </c>
      <c r="F21" t="s">
        <v>147</v>
      </c>
      <c r="G21" t="s">
        <v>81</v>
      </c>
      <c r="H21"/>
      <c r="I21" t="s">
        <v>165</v>
      </c>
    </row>
    <row r="22" spans="1:16">
      <c r="A22" t="s">
        <v>109</v>
      </c>
      <c r="B22" t="s">
        <v>88</v>
      </c>
      <c r="C22" t="s">
        <v>39</v>
      </c>
      <c r="D22" t="s">
        <v>172</v>
      </c>
      <c r="E22" t="s">
        <v>112</v>
      </c>
      <c r="F22" t="s">
        <v>150</v>
      </c>
      <c r="G22" t="s">
        <v>172</v>
      </c>
      <c r="H22"/>
      <c r="I22" t="s">
        <v>166</v>
      </c>
    </row>
    <row r="23" spans="1:16">
      <c r="A23" t="s">
        <v>109</v>
      </c>
      <c r="B23" t="s">
        <v>88</v>
      </c>
      <c r="C23" t="s">
        <v>39</v>
      </c>
      <c r="D23" t="s">
        <v>173</v>
      </c>
      <c r="E23" t="s">
        <v>112</v>
      </c>
      <c r="F23" t="s">
        <v>154</v>
      </c>
      <c r="G23" t="s">
        <v>173</v>
      </c>
      <c r="H23"/>
      <c r="I23" t="s">
        <v>167</v>
      </c>
    </row>
    <row r="24" spans="1:16">
      <c r="A24" t="s">
        <v>109</v>
      </c>
      <c r="B24" t="s">
        <v>88</v>
      </c>
      <c r="C24" t="s">
        <v>39</v>
      </c>
      <c r="D24" t="s">
        <v>174</v>
      </c>
      <c r="E24" t="s">
        <v>112</v>
      </c>
      <c r="F24" t="s">
        <v>156</v>
      </c>
      <c r="G24" t="s">
        <v>174</v>
      </c>
      <c r="H24"/>
      <c r="I24" t="s">
        <v>80</v>
      </c>
    </row>
    <row r="25" spans="1:16">
      <c r="A25" t="s">
        <v>175</v>
      </c>
      <c r="B25"/>
      <c r="C25"/>
      <c r="D25" t="s">
        <v>176</v>
      </c>
      <c r="E25"/>
      <c r="F25"/>
      <c r="G25" t="s">
        <v>176</v>
      </c>
      <c r="H25"/>
      <c r="I25"/>
    </row>
    <row r="26" spans="1:16">
      <c r="A26" t="s">
        <v>175</v>
      </c>
      <c r="B26"/>
      <c r="C26"/>
      <c r="D26" t="s">
        <v>177</v>
      </c>
      <c r="E26"/>
      <c r="F26"/>
      <c r="G26" t="s">
        <v>177</v>
      </c>
      <c r="H26"/>
      <c r="I26"/>
    </row>
    <row r="27" spans="1:16">
      <c r="A27" t="s">
        <v>175</v>
      </c>
      <c r="B27"/>
      <c r="C27"/>
      <c r="D27" t="s">
        <v>178</v>
      </c>
      <c r="E27"/>
      <c r="F27"/>
      <c r="G27" t="s">
        <v>178</v>
      </c>
      <c r="H27"/>
      <c r="I27"/>
      <c r="N27" s="15"/>
      <c r="O27" s="15"/>
      <c r="P27" s="15"/>
    </row>
    <row r="28" spans="1:16">
      <c r="A28" t="s">
        <v>175</v>
      </c>
      <c r="B28"/>
      <c r="C28"/>
      <c r="D28" t="s">
        <v>179</v>
      </c>
      <c r="E28"/>
      <c r="F28"/>
      <c r="G28" t="s">
        <v>179</v>
      </c>
      <c r="H28"/>
      <c r="I28"/>
    </row>
    <row r="29" spans="1:16">
      <c r="A29" t="s">
        <v>175</v>
      </c>
      <c r="B29"/>
      <c r="C29"/>
      <c r="D29" t="s">
        <v>180</v>
      </c>
      <c r="E29"/>
      <c r="F29"/>
      <c r="G29" t="s">
        <v>180</v>
      </c>
      <c r="H29"/>
      <c r="I29"/>
    </row>
    <row r="30" spans="1:16">
      <c r="A30" t="s">
        <v>175</v>
      </c>
      <c r="B30"/>
      <c r="C30"/>
      <c r="D30" t="s">
        <v>181</v>
      </c>
      <c r="E30"/>
      <c r="F30"/>
      <c r="G30" t="s">
        <v>181</v>
      </c>
      <c r="H30"/>
      <c r="I30"/>
    </row>
    <row r="31" spans="1:16">
      <c r="A31" t="s">
        <v>175</v>
      </c>
      <c r="B31"/>
      <c r="C31"/>
      <c r="D31" t="s">
        <v>147</v>
      </c>
      <c r="E31"/>
      <c r="F31"/>
      <c r="G31" t="s">
        <v>147</v>
      </c>
      <c r="H31"/>
      <c r="I31"/>
    </row>
    <row r="32" spans="1:16">
      <c r="A32" t="s">
        <v>175</v>
      </c>
      <c r="B32"/>
      <c r="C32"/>
      <c r="D32" t="s">
        <v>182</v>
      </c>
      <c r="E32"/>
      <c r="F32"/>
      <c r="G32" t="s">
        <v>182</v>
      </c>
      <c r="H32"/>
      <c r="I32"/>
    </row>
    <row r="33" spans="1:9">
      <c r="A33" t="s">
        <v>175</v>
      </c>
      <c r="B33"/>
      <c r="C33"/>
      <c r="D33" t="s">
        <v>183</v>
      </c>
      <c r="E33"/>
      <c r="F33"/>
      <c r="G33" t="s">
        <v>183</v>
      </c>
      <c r="H33"/>
      <c r="I33"/>
    </row>
    <row r="34" spans="1:9">
      <c r="A34" t="s">
        <v>175</v>
      </c>
      <c r="B34"/>
      <c r="C34"/>
      <c r="D34" t="s">
        <v>184</v>
      </c>
      <c r="E34"/>
      <c r="F34"/>
      <c r="G34" t="s">
        <v>184</v>
      </c>
      <c r="H34"/>
      <c r="I34"/>
    </row>
    <row r="35" spans="1:9">
      <c r="A35" t="s">
        <v>175</v>
      </c>
      <c r="B35"/>
      <c r="C35"/>
      <c r="D35" t="s">
        <v>185</v>
      </c>
      <c r="E35"/>
      <c r="F35"/>
      <c r="G35" t="s">
        <v>185</v>
      </c>
      <c r="H35"/>
      <c r="I35"/>
    </row>
    <row r="36" spans="1:9">
      <c r="A36" t="s">
        <v>175</v>
      </c>
      <c r="B36"/>
      <c r="C36"/>
      <c r="D36" t="s">
        <v>186</v>
      </c>
      <c r="E36"/>
      <c r="F36"/>
      <c r="G36" t="s">
        <v>186</v>
      </c>
      <c r="H36"/>
      <c r="I36"/>
    </row>
    <row r="37" spans="1:9">
      <c r="A37" t="s">
        <v>123</v>
      </c>
      <c r="B37"/>
      <c r="C37"/>
      <c r="D37" t="s">
        <v>187</v>
      </c>
      <c r="E37"/>
      <c r="F37"/>
      <c r="G37" t="s">
        <v>187</v>
      </c>
      <c r="H37"/>
      <c r="I37"/>
    </row>
    <row r="38" spans="1:9">
      <c r="A38" t="s">
        <v>123</v>
      </c>
      <c r="B38"/>
      <c r="C38"/>
      <c r="D38" t="s">
        <v>188</v>
      </c>
      <c r="E38"/>
      <c r="F38"/>
      <c r="G38" t="s">
        <v>188</v>
      </c>
      <c r="H38"/>
      <c r="I38"/>
    </row>
    <row r="39" spans="1:9">
      <c r="A39" t="s">
        <v>123</v>
      </c>
      <c r="B39"/>
      <c r="C39"/>
      <c r="D39" t="s">
        <v>189</v>
      </c>
      <c r="E39"/>
      <c r="F39"/>
      <c r="G39" t="s">
        <v>189</v>
      </c>
      <c r="H39"/>
      <c r="I39"/>
    </row>
    <row r="40" spans="1:9">
      <c r="A40" t="s">
        <v>123</v>
      </c>
      <c r="B40"/>
      <c r="C40"/>
      <c r="D40" t="s">
        <v>190</v>
      </c>
      <c r="E40"/>
      <c r="F40"/>
      <c r="G40" t="s">
        <v>190</v>
      </c>
      <c r="H40"/>
      <c r="I40"/>
    </row>
    <row r="41" spans="1:9">
      <c r="A41" t="s">
        <v>123</v>
      </c>
      <c r="B41"/>
      <c r="C41"/>
      <c r="D41" t="s">
        <v>150</v>
      </c>
      <c r="E41"/>
      <c r="F41"/>
      <c r="G41" t="s">
        <v>150</v>
      </c>
      <c r="H41"/>
      <c r="I41"/>
    </row>
    <row r="42" spans="1:9">
      <c r="A42" t="s">
        <v>123</v>
      </c>
      <c r="B42"/>
      <c r="C42"/>
      <c r="D42" t="s">
        <v>191</v>
      </c>
      <c r="E42"/>
      <c r="F42"/>
      <c r="G42" t="s">
        <v>191</v>
      </c>
      <c r="H42"/>
      <c r="I42"/>
    </row>
    <row r="43" spans="1:9">
      <c r="A43" t="s">
        <v>123</v>
      </c>
      <c r="B43"/>
      <c r="C43"/>
      <c r="D43" t="s">
        <v>192</v>
      </c>
      <c r="E43"/>
      <c r="F43"/>
      <c r="G43" t="s">
        <v>192</v>
      </c>
      <c r="H43"/>
      <c r="I43"/>
    </row>
    <row r="44" spans="1:9">
      <c r="A44" t="s">
        <v>123</v>
      </c>
      <c r="B44"/>
      <c r="C44"/>
      <c r="D44" t="s">
        <v>193</v>
      </c>
      <c r="E44"/>
      <c r="F44"/>
      <c r="G44" t="s">
        <v>193</v>
      </c>
      <c r="H44"/>
      <c r="I44"/>
    </row>
    <row r="45" spans="1:9">
      <c r="A45" t="s">
        <v>123</v>
      </c>
      <c r="B45"/>
      <c r="C45"/>
      <c r="D45" t="s">
        <v>194</v>
      </c>
      <c r="E45"/>
      <c r="F45"/>
      <c r="G45" t="s">
        <v>194</v>
      </c>
      <c r="H45"/>
      <c r="I45"/>
    </row>
    <row r="46" spans="1:9">
      <c r="A46" t="s">
        <v>123</v>
      </c>
      <c r="B46"/>
      <c r="C46"/>
      <c r="D46" t="s">
        <v>195</v>
      </c>
      <c r="E46"/>
      <c r="F46"/>
      <c r="G46" t="s">
        <v>195</v>
      </c>
      <c r="H46"/>
      <c r="I46"/>
    </row>
    <row r="47" spans="1:9">
      <c r="A47" t="s">
        <v>123</v>
      </c>
      <c r="B47"/>
      <c r="C47"/>
      <c r="D47" t="s">
        <v>196</v>
      </c>
      <c r="E47"/>
      <c r="F47"/>
      <c r="G47" t="s">
        <v>196</v>
      </c>
      <c r="H47"/>
      <c r="I47"/>
    </row>
    <row r="48" spans="1:9">
      <c r="A48" t="s">
        <v>123</v>
      </c>
      <c r="B48"/>
      <c r="C48"/>
      <c r="D48" t="s">
        <v>197</v>
      </c>
      <c r="E48"/>
      <c r="F48"/>
      <c r="G48" t="s">
        <v>197</v>
      </c>
      <c r="H48"/>
      <c r="I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M17" sqref="M17"/>
    </sheetView>
  </sheetViews>
  <sheetFormatPr defaultRowHeight="14.4"/>
  <cols>
    <col min="1" max="1" width="11" bestFit="1" customWidth="1"/>
    <col min="2" max="2" width="11.6640625" bestFit="1" customWidth="1"/>
    <col min="3" max="3" width="15" bestFit="1" customWidth="1"/>
    <col min="4" max="4" width="7.88671875" bestFit="1" customWidth="1"/>
    <col min="5" max="5" width="12.88671875" bestFit="1" customWidth="1"/>
    <col min="6" max="6" width="11.109375" bestFit="1" customWidth="1"/>
    <col min="7" max="7" width="12" bestFit="1" customWidth="1"/>
  </cols>
  <sheetData>
    <row r="1" spans="1:8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</row>
    <row r="2" spans="1:8">
      <c r="A2" t="s">
        <v>212</v>
      </c>
      <c r="B2" t="s">
        <v>213</v>
      </c>
      <c r="C2">
        <v>1232135657</v>
      </c>
      <c r="D2">
        <v>10</v>
      </c>
      <c r="E2" t="s">
        <v>206</v>
      </c>
      <c r="F2" s="8">
        <v>700</v>
      </c>
      <c r="G2" t="s">
        <v>214</v>
      </c>
      <c r="H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21" sqref="D21"/>
    </sheetView>
  </sheetViews>
  <sheetFormatPr defaultRowHeight="14.4"/>
  <cols>
    <col min="1" max="1" width="10.5546875" style="14" bestFit="1" customWidth="1"/>
    <col min="2" max="2" width="18" style="14" bestFit="1" customWidth="1"/>
    <col min="3" max="3" width="30.6640625" style="14" customWidth="1"/>
    <col min="4" max="4" width="11.44140625" bestFit="1" customWidth="1"/>
  </cols>
  <sheetData>
    <row r="1" spans="1:4">
      <c r="A1" s="13" t="s">
        <v>207</v>
      </c>
      <c r="B1" s="13" t="s">
        <v>208</v>
      </c>
      <c r="C1" s="13" t="s">
        <v>209</v>
      </c>
      <c r="D1" s="11" t="s">
        <v>210</v>
      </c>
    </row>
    <row r="2" spans="1:4">
      <c r="A2" s="14">
        <v>10</v>
      </c>
      <c r="B2" s="14">
        <v>1</v>
      </c>
      <c r="C2" s="14" t="s">
        <v>215</v>
      </c>
      <c r="D2">
        <v>1232135657</v>
      </c>
    </row>
    <row r="3" spans="1:4">
      <c r="A3" s="14">
        <v>10</v>
      </c>
      <c r="B3" s="14">
        <v>1</v>
      </c>
      <c r="C3" s="14" t="s">
        <v>216</v>
      </c>
      <c r="D3">
        <v>1232135657</v>
      </c>
    </row>
    <row r="4" spans="1:4">
      <c r="A4" s="14">
        <v>10</v>
      </c>
      <c r="B4" s="14">
        <v>1</v>
      </c>
      <c r="C4" s="14" t="s">
        <v>217</v>
      </c>
      <c r="D4">
        <v>1232135657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CompanyList</vt:lpstr>
      <vt:lpstr>VenueList</vt:lpstr>
      <vt:lpstr>Deptlist</vt:lpstr>
      <vt:lpstr>ProductGroup</vt:lpstr>
      <vt:lpstr>ProductList</vt:lpstr>
      <vt:lpstr>userLoginDetails</vt:lpstr>
      <vt:lpstr>PLUList</vt:lpstr>
      <vt:lpstr>wallRackDetails</vt:lpstr>
      <vt:lpstr>BottleChange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</dc:creator>
  <cp:keywords/>
  <dc:description/>
  <cp:lastModifiedBy>lenovo</cp:lastModifiedBy>
  <cp:revision/>
  <dcterms:created xsi:type="dcterms:W3CDTF">2015-06-05T18:17:20Z</dcterms:created>
  <dcterms:modified xsi:type="dcterms:W3CDTF">2025-09-19T06:40:21Z</dcterms:modified>
  <cp:category/>
  <cp:contentStatus/>
</cp:coreProperties>
</file>